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татистика" sheetId="1" state="visible" r:id="rId3"/>
    <sheet name="Товар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<sst xmlns="http://schemas.openxmlformats.org/spreadsheetml/2006/main" count="65" uniqueCount="57">
  <si>
    <t xml:space="preserve">№</t>
  </si>
  <si>
    <t xml:space="preserve">ФИО студента</t>
  </si>
  <si>
    <t xml:space="preserve">Балл 1 (тест)</t>
  </si>
  <si>
    <t xml:space="preserve">Балл 2 (практика)</t>
  </si>
  <si>
    <t xml:space="preserve">Балл 3 (проект)</t>
  </si>
  <si>
    <t xml:space="preserve">Сумма баллов</t>
  </si>
  <si>
    <t xml:space="preserve">Средний балл</t>
  </si>
  <si>
    <t xml:space="preserve">Оценка</t>
  </si>
  <si>
    <t xml:space="preserve">Ранг</t>
  </si>
  <si>
    <t xml:space="preserve">Иванов И.И.</t>
  </si>
  <si>
    <t xml:space="preserve">Петров П.П.</t>
  </si>
  <si>
    <t xml:space="preserve">Сидорова С.С.</t>
  </si>
  <si>
    <t xml:space="preserve">Кузнецов К.К.</t>
  </si>
  <si>
    <t xml:space="preserve">Смирнова С.С.</t>
  </si>
  <si>
    <t xml:space="preserve">Волков В.В.</t>
  </si>
  <si>
    <t xml:space="preserve">Морозова М.М.</t>
  </si>
  <si>
    <t xml:space="preserve">Новиков Н.Н.</t>
  </si>
  <si>
    <t xml:space="preserve">Фёдорова Ф.Ф.</t>
  </si>
  <si>
    <t xml:space="preserve">Егоров Е.Е.</t>
  </si>
  <si>
    <t xml:space="preserve">Павлова П.П.</t>
  </si>
  <si>
    <t xml:space="preserve">Соколов С.С.</t>
  </si>
  <si>
    <t xml:space="preserve">Лебедева Л.Л.</t>
  </si>
  <si>
    <t xml:space="preserve">Козлов К.К.</t>
  </si>
  <si>
    <t xml:space="preserve">Степанова С.С.</t>
  </si>
  <si>
    <t xml:space="preserve">Сумма</t>
  </si>
  <si>
    <t xml:space="preserve">Среднее</t>
  </si>
  <si>
    <t xml:space="preserve">Медиана</t>
  </si>
  <si>
    <t xml:space="preserve">Мода</t>
  </si>
  <si>
    <t xml:space="preserve">Минимум</t>
  </si>
  <si>
    <t xml:space="preserve">Максимум</t>
  </si>
  <si>
    <t xml:space="preserve">Товар</t>
  </si>
  <si>
    <t xml:space="preserve">Цена (руб.)</t>
  </si>
  <si>
    <t xml:space="preserve">Продано (шт.)</t>
  </si>
  <si>
    <t xml:space="preserve">Выручка</t>
  </si>
  <si>
    <t xml:space="preserve">Категория</t>
  </si>
  <si>
    <t xml:space="preserve">Доля, %</t>
  </si>
  <si>
    <t xml:space="preserve">Ноутбук</t>
  </si>
  <si>
    <t xml:space="preserve">Монитор</t>
  </si>
  <si>
    <t xml:space="preserve">Клавиатура</t>
  </si>
  <si>
    <t xml:space="preserve">Мышь</t>
  </si>
  <si>
    <t xml:space="preserve">Принтер</t>
  </si>
  <si>
    <t xml:space="preserve">Сканер</t>
  </si>
  <si>
    <t xml:space="preserve">Флешка 32ГБ</t>
  </si>
  <si>
    <t xml:space="preserve">Внешний HDD</t>
  </si>
  <si>
    <t xml:space="preserve">Веб-камера</t>
  </si>
  <si>
    <t xml:space="preserve">Наушники</t>
  </si>
  <si>
    <t xml:space="preserve">Коврик для мыши</t>
  </si>
  <si>
    <t xml:space="preserve">USB-хаб</t>
  </si>
  <si>
    <t xml:space="preserve">Картридж</t>
  </si>
  <si>
    <t xml:space="preserve">Бумага А4</t>
  </si>
  <si>
    <t xml:space="preserve">Роутер</t>
  </si>
  <si>
    <t xml:space="preserve">Стандартное отклонение</t>
  </si>
  <si>
    <t xml:space="preserve">Дисперсия</t>
  </si>
  <si>
    <t xml:space="preserve">Количество товаров категории «Топ»</t>
  </si>
  <si>
    <t xml:space="preserve">Сумма выручки категории «Топ»</t>
  </si>
  <si>
    <t xml:space="preserve">Средняя выручка категории «Средний»</t>
  </si>
  <si>
    <t xml:space="preserve">Корреляция цены и количества проданных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</si>
</sst>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"/>
    <numFmt numFmtId="168" formatCode="#,##0.00"/>
    <numFmt numFmtId="169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n">
        <v>85</v>
      </c>
      <c r="D2" s="4" t="n">
        <v>78</v>
      </c>
      <c r="E2" s="4" t="n">
        <v>92</v>
      </c>
      <c r="F2" s="4" t="n">
        <f aca="false">SUM(C2:E2)</f>
        <v>255</v>
      </c>
      <c r="G2" s="4" t="n">
        <f aca="false">AVERAGE(C2:E2)</f>
        <v>85</v>
      </c>
      <c r="H2" s="2" t="n">
        <f aca="false">IF(G2&gt;=90,5,IF(G2&gt;=75,4,IF(G2&gt;=60,3,2)))</f>
        <v>4</v>
      </c>
      <c r="I2" s="2" t="n">
        <f aca="false">RANK(G2,$G$2:$G$16)</f>
        <v>6</v>
      </c>
    </row>
    <row r="3" customFormat="false" ht="15" hidden="false" customHeight="false" outlineLevel="0" collapsed="false">
      <c r="A3" s="2" t="n">
        <v>2</v>
      </c>
      <c r="B3" s="3" t="s">
        <v>10</v>
      </c>
      <c r="C3" s="4" t="n">
        <v>72</v>
      </c>
      <c r="D3" s="4" t="n">
        <v>65</v>
      </c>
      <c r="E3" s="4" t="n">
        <v>80</v>
      </c>
      <c r="F3" s="4" t="n">
        <f aca="false">SUM(C3:E3)</f>
        <v>217</v>
      </c>
      <c r="G3" s="4" t="n">
        <f aca="false">AVERAGE(C3:E3)</f>
        <v>72.3333333333333</v>
      </c>
      <c r="H3" s="2" t="n">
        <f aca="false">IF(G3&gt;=90,5,IF(G3&gt;=75,4,IF(G3&gt;=60,3,2)))</f>
        <v>3</v>
      </c>
      <c r="I3" s="2" t="n">
        <f aca="false">RANK(G3,$G$2:$G$16)</f>
        <v>10</v>
      </c>
    </row>
    <row r="4" customFormat="false" ht="15" hidden="false" customHeight="false" outlineLevel="0" collapsed="false">
      <c r="A4" s="2" t="n">
        <v>3</v>
      </c>
      <c r="B4" s="3" t="s">
        <v>11</v>
      </c>
      <c r="C4" s="4" t="n">
        <v>95</v>
      </c>
      <c r="D4" s="4" t="n">
        <v>88</v>
      </c>
      <c r="E4" s="4" t="n">
        <v>98</v>
      </c>
      <c r="F4" s="4" t="n">
        <f aca="false">SUM(C4:E4)</f>
        <v>281</v>
      </c>
      <c r="G4" s="4" t="n">
        <f aca="false">AVERAGE(C4:E4)</f>
        <v>93.6666666666667</v>
      </c>
      <c r="H4" s="2" t="n">
        <f aca="false">IF(G4&gt;=90,5,IF(G4&gt;=75,4,IF(G4&gt;=60,3,2)))</f>
        <v>5</v>
      </c>
      <c r="I4" s="2" t="n">
        <f aca="false">RANK(G4,$G$2:$G$16)</f>
        <v>2</v>
      </c>
    </row>
    <row r="5" customFormat="false" ht="15" hidden="false" customHeight="false" outlineLevel="0" collapsed="false">
      <c r="A5" s="2" t="n">
        <v>4</v>
      </c>
      <c r="B5" s="3" t="s">
        <v>12</v>
      </c>
      <c r="C5" s="4" t="n">
        <v>65</v>
      </c>
      <c r="D5" s="4" t="n">
        <v>55</v>
      </c>
      <c r="E5" s="4" t="n">
        <v>70</v>
      </c>
      <c r="F5" s="4" t="n">
        <f aca="false">SUM(C5:E5)</f>
        <v>190</v>
      </c>
      <c r="G5" s="4" t="n">
        <f aca="false">AVERAGE(C5:E5)</f>
        <v>63.3333333333333</v>
      </c>
      <c r="H5" s="2" t="n">
        <f aca="false">IF(G5&gt;=90,5,IF(G5&gt;=75,4,IF(G5&gt;=60,3,2)))</f>
        <v>3</v>
      </c>
      <c r="I5" s="2" t="n">
        <f aca="false">RANK(G5,$G$2:$G$16)</f>
        <v>13</v>
      </c>
    </row>
    <row r="6" customFormat="false" ht="15" hidden="false" customHeight="false" outlineLevel="0" collapsed="false">
      <c r="A6" s="2" t="n">
        <v>5</v>
      </c>
      <c r="B6" s="3" t="s">
        <v>13</v>
      </c>
      <c r="C6" s="4" t="n">
        <v>78</v>
      </c>
      <c r="D6" s="4" t="n">
        <v>82</v>
      </c>
      <c r="E6" s="4" t="n">
        <v>85</v>
      </c>
      <c r="F6" s="4" t="n">
        <f aca="false">SUM(C6:E6)</f>
        <v>245</v>
      </c>
      <c r="G6" s="4" t="n">
        <f aca="false">AVERAGE(C6:E6)</f>
        <v>81.6666666666667</v>
      </c>
      <c r="H6" s="2" t="n">
        <f aca="false">IF(G6&gt;=90,5,IF(G6&gt;=75,4,IF(G6&gt;=60,3,2)))</f>
        <v>4</v>
      </c>
      <c r="I6" s="2" t="n">
        <f aca="false">RANK(G6,$G$2:$G$16)</f>
        <v>7</v>
      </c>
    </row>
    <row r="7" customFormat="false" ht="15" hidden="false" customHeight="false" outlineLevel="0" collapsed="false">
      <c r="A7" s="2" t="n">
        <v>6</v>
      </c>
      <c r="B7" s="3" t="s">
        <v>14</v>
      </c>
      <c r="C7" s="4" t="n">
        <v>88</v>
      </c>
      <c r="D7" s="4" t="n">
        <v>90</v>
      </c>
      <c r="E7" s="4" t="n">
        <v>95</v>
      </c>
      <c r="F7" s="4" t="n">
        <f aca="false">SUM(C7:E7)</f>
        <v>273</v>
      </c>
      <c r="G7" s="4" t="n">
        <f aca="false">AVERAGE(C7:E7)</f>
        <v>91</v>
      </c>
      <c r="H7" s="2" t="n">
        <f aca="false">IF(G7&gt;=90,5,IF(G7&gt;=75,4,IF(G7&gt;=60,3,2)))</f>
        <v>5</v>
      </c>
      <c r="I7" s="2" t="n">
        <f aca="false">RANK(G7,$G$2:$G$16)</f>
        <v>4</v>
      </c>
    </row>
    <row r="8" customFormat="false" ht="15" hidden="false" customHeight="false" outlineLevel="0" collapsed="false">
      <c r="A8" s="2" t="n">
        <v>7</v>
      </c>
      <c r="B8" s="3" t="s">
        <v>15</v>
      </c>
      <c r="C8" s="4" t="n">
        <v>65</v>
      </c>
      <c r="D8" s="4" t="n">
        <v>70</v>
      </c>
      <c r="E8" s="4" t="n">
        <v>68</v>
      </c>
      <c r="F8" s="4" t="n">
        <f aca="false">SUM(C8:E8)</f>
        <v>203</v>
      </c>
      <c r="G8" s="4" t="n">
        <f aca="false">AVERAGE(C8:E8)</f>
        <v>67.6666666666667</v>
      </c>
      <c r="H8" s="2" t="n">
        <f aca="false">IF(G8&gt;=90,5,IF(G8&gt;=75,4,IF(G8&gt;=60,3,2)))</f>
        <v>3</v>
      </c>
      <c r="I8" s="2" t="n">
        <f aca="false">RANK(G8,$G$2:$G$16)</f>
        <v>12</v>
      </c>
    </row>
    <row r="9" customFormat="false" ht="15" hidden="false" customHeight="false" outlineLevel="0" collapsed="false">
      <c r="A9" s="2" t="n">
        <v>8</v>
      </c>
      <c r="B9" s="3" t="s">
        <v>16</v>
      </c>
      <c r="C9" s="4" t="n">
        <v>92</v>
      </c>
      <c r="D9" s="4" t="n">
        <v>85</v>
      </c>
      <c r="E9" s="4" t="n">
        <v>88</v>
      </c>
      <c r="F9" s="4" t="n">
        <f aca="false">SUM(C9:E9)</f>
        <v>265</v>
      </c>
      <c r="G9" s="4" t="n">
        <f aca="false">AVERAGE(C9:E9)</f>
        <v>88.3333333333333</v>
      </c>
      <c r="H9" s="2" t="n">
        <f aca="false">IF(G9&gt;=90,5,IF(G9&gt;=75,4,IF(G9&gt;=60,3,2)))</f>
        <v>4</v>
      </c>
      <c r="I9" s="2" t="n">
        <f aca="false">RANK(G9,$G$2:$G$16)</f>
        <v>5</v>
      </c>
    </row>
    <row r="10" customFormat="false" ht="15" hidden="false" customHeight="false" outlineLevel="0" collapsed="false">
      <c r="A10" s="2" t="n">
        <v>9</v>
      </c>
      <c r="B10" s="3" t="s">
        <v>17</v>
      </c>
      <c r="C10" s="4" t="n">
        <v>55</v>
      </c>
      <c r="D10" s="4" t="n">
        <v>60</v>
      </c>
      <c r="E10" s="4" t="n">
        <v>58</v>
      </c>
      <c r="F10" s="4" t="n">
        <f aca="false">SUM(C10:E10)</f>
        <v>173</v>
      </c>
      <c r="G10" s="4" t="n">
        <f aca="false">AVERAGE(C10:E10)</f>
        <v>57.6666666666667</v>
      </c>
      <c r="H10" s="2" t="n">
        <f aca="false">IF(G10&gt;=90,5,IF(G10&gt;=75,4,IF(G10&gt;=60,3,2)))</f>
        <v>2</v>
      </c>
      <c r="I10" s="2" t="n">
        <f aca="false">RANK(G10,$G$2:$G$16)</f>
        <v>15</v>
      </c>
    </row>
    <row r="11" customFormat="false" ht="15" hidden="false" customHeight="false" outlineLevel="0" collapsed="false">
      <c r="A11" s="2" t="n">
        <v>10</v>
      </c>
      <c r="B11" s="3" t="s">
        <v>18</v>
      </c>
      <c r="C11" s="4" t="n">
        <v>80</v>
      </c>
      <c r="D11" s="4" t="n">
        <v>75</v>
      </c>
      <c r="E11" s="4" t="n">
        <v>82</v>
      </c>
      <c r="F11" s="4" t="n">
        <f aca="false">SUM(C11:E11)</f>
        <v>237</v>
      </c>
      <c r="G11" s="4" t="n">
        <f aca="false">AVERAGE(C11:E11)</f>
        <v>79</v>
      </c>
      <c r="H11" s="2" t="n">
        <f aca="false">IF(G11&gt;=90,5,IF(G11&gt;=75,4,IF(G11&gt;=60,3,2)))</f>
        <v>4</v>
      </c>
      <c r="I11" s="2" t="n">
        <f aca="false">RANK(G11,$G$2:$G$16)</f>
        <v>8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4" t="n">
        <v>70</v>
      </c>
      <c r="D12" s="4" t="n">
        <v>68</v>
      </c>
      <c r="E12" s="4" t="n">
        <v>72</v>
      </c>
      <c r="F12" s="4" t="n">
        <f aca="false">SUM(C12:E12)</f>
        <v>210</v>
      </c>
      <c r="G12" s="4" t="n">
        <f aca="false">AVERAGE(C12:E12)</f>
        <v>70</v>
      </c>
      <c r="H12" s="2" t="n">
        <f aca="false">IF(G12&gt;=90,5,IF(G12&gt;=75,4,IF(G12&gt;=60,3,2)))</f>
        <v>3</v>
      </c>
      <c r="I12" s="2" t="n">
        <f aca="false">RANK(G12,$G$2:$G$16)</f>
        <v>11</v>
      </c>
    </row>
    <row r="13" customFormat="false" ht="15" hidden="false" customHeight="false" outlineLevel="0" collapsed="false">
      <c r="A13" s="2" t="n">
        <v>12</v>
      </c>
      <c r="B13" s="3" t="s">
        <v>20</v>
      </c>
      <c r="C13" s="4" t="n">
        <v>90</v>
      </c>
      <c r="D13" s="4" t="n">
        <v>92</v>
      </c>
      <c r="E13" s="4" t="n">
        <v>94</v>
      </c>
      <c r="F13" s="4" t="n">
        <f aca="false">SUM(C13:E13)</f>
        <v>276</v>
      </c>
      <c r="G13" s="4" t="n">
        <f aca="false">AVERAGE(C13:E13)</f>
        <v>92</v>
      </c>
      <c r="H13" s="2" t="n">
        <f aca="false">IF(G13&gt;=90,5,IF(G13&gt;=75,4,IF(G13&gt;=60,3,2)))</f>
        <v>5</v>
      </c>
      <c r="I13" s="2" t="n">
        <f aca="false">RANK(G13,$G$2:$G$16)</f>
        <v>3</v>
      </c>
    </row>
    <row r="14" customFormat="false" ht="15" hidden="false" customHeight="false" outlineLevel="0" collapsed="false">
      <c r="A14" s="2" t="n">
        <v>13</v>
      </c>
      <c r="B14" s="3" t="s">
        <v>21</v>
      </c>
      <c r="C14" s="4" t="n">
        <v>75</v>
      </c>
      <c r="D14" s="4" t="n">
        <v>78</v>
      </c>
      <c r="E14" s="4" t="n">
        <v>80</v>
      </c>
      <c r="F14" s="4" t="n">
        <f aca="false">SUM(C14:E14)</f>
        <v>233</v>
      </c>
      <c r="G14" s="4" t="n">
        <f aca="false">AVERAGE(C14:E14)</f>
        <v>77.6666666666667</v>
      </c>
      <c r="H14" s="2" t="n">
        <f aca="false">IF(G14&gt;=90,5,IF(G14&gt;=75,4,IF(G14&gt;=60,3,2)))</f>
        <v>4</v>
      </c>
      <c r="I14" s="2" t="n">
        <f aca="false">RANK(G14,$G$2:$G$16)</f>
        <v>9</v>
      </c>
    </row>
    <row r="15" customFormat="false" ht="15" hidden="false" customHeight="false" outlineLevel="0" collapsed="false">
      <c r="A15" s="2" t="n">
        <v>14</v>
      </c>
      <c r="B15" s="3" t="s">
        <v>22</v>
      </c>
      <c r="C15" s="4" t="n">
        <v>62</v>
      </c>
      <c r="D15" s="4" t="n">
        <v>58</v>
      </c>
      <c r="E15" s="4" t="n">
        <v>65</v>
      </c>
      <c r="F15" s="4" t="n">
        <f aca="false">SUM(C15:E15)</f>
        <v>185</v>
      </c>
      <c r="G15" s="4" t="n">
        <f aca="false">AVERAGE(C15:E15)</f>
        <v>61.6666666666667</v>
      </c>
      <c r="H15" s="2" t="n">
        <f aca="false">IF(G15&gt;=90,5,IF(G15&gt;=75,4,IF(G15&gt;=60,3,2)))</f>
        <v>3</v>
      </c>
      <c r="I15" s="2" t="n">
        <f aca="false">RANK(G15,$G$2:$G$16)</f>
        <v>14</v>
      </c>
    </row>
    <row r="16" customFormat="false" ht="15" hidden="false" customHeight="false" outlineLevel="0" collapsed="false">
      <c r="A16" s="2" t="n">
        <v>15</v>
      </c>
      <c r="B16" s="3" t="s">
        <v>23</v>
      </c>
      <c r="C16" s="4" t="n">
        <v>98</v>
      </c>
      <c r="D16" s="4" t="n">
        <v>95</v>
      </c>
      <c r="E16" s="4" t="n">
        <v>100</v>
      </c>
      <c r="F16" s="4" t="n">
        <f aca="false">SUM(C16:E16)</f>
        <v>293</v>
      </c>
      <c r="G16" s="4" t="n">
        <f aca="false">AVERAGE(C16:E16)</f>
        <v>97.6666666666667</v>
      </c>
      <c r="H16" s="2" t="n">
        <f aca="false">IF(G16&gt;=90,5,IF(G16&gt;=75,4,IF(G16&gt;=60,3,2)))</f>
        <v>5</v>
      </c>
      <c r="I16" s="2" t="n">
        <f aca="false">RANK(G16,$G$2:$G$16)</f>
        <v>1</v>
      </c>
    </row>
    <row r="18" customFormat="false" ht="15" hidden="false" customHeight="false" outlineLevel="0" collapsed="false">
      <c r="B18" s="5" t="s">
        <v>24</v>
      </c>
      <c r="C18" s="4" t="n">
        <f aca="false">SUM(C2:C16)</f>
        <v>1170</v>
      </c>
      <c r="D18" s="4" t="n">
        <f aca="false">SUM(D2:D16)</f>
        <v>1139</v>
      </c>
      <c r="E18" s="4" t="n">
        <f aca="false">SUM(E2:E16)</f>
        <v>1227</v>
      </c>
      <c r="F18" s="4" t="n">
        <f aca="false">SUM(F2:F16)</f>
        <v>3536</v>
      </c>
      <c r="G18" s="4" t="n">
        <f aca="false">SUM(G2:G16)</f>
        <v>1178.66666666667</v>
      </c>
    </row>
    <row r="19" customFormat="false" ht="15" hidden="false" customHeight="false" outlineLevel="0" collapsed="false">
      <c r="B19" s="5" t="s">
        <v>25</v>
      </c>
      <c r="C19" s="4" t="n">
        <f aca="false">AVERAGE(C2:C16)</f>
        <v>78</v>
      </c>
      <c r="D19" s="4" t="n">
        <f aca="false">AVERAGE(D2:D16)</f>
        <v>75.9333333333333</v>
      </c>
      <c r="E19" s="4" t="n">
        <f aca="false">AVERAGE(E2:E16)</f>
        <v>81.8</v>
      </c>
      <c r="F19" s="4" t="n">
        <f aca="false">AVERAGE(F2:F16)</f>
        <v>235.733333333333</v>
      </c>
      <c r="G19" s="4" t="n">
        <f aca="false">AVERAGE(G2:G16)</f>
        <v>78.5777777777778</v>
      </c>
    </row>
    <row r="20" customFormat="false" ht="15" hidden="false" customHeight="false" outlineLevel="0" collapsed="false">
      <c r="B20" s="5" t="s">
        <v>26</v>
      </c>
      <c r="C20" s="4" t="n">
        <f aca="false">MEDIAN(C2:C16)</f>
        <v>78</v>
      </c>
      <c r="D20" s="4" t="n">
        <f aca="false">MEDIAN(D2:D16)</f>
        <v>78</v>
      </c>
      <c r="E20" s="4" t="n">
        <f aca="false">MEDIAN(E2:E16)</f>
        <v>82</v>
      </c>
      <c r="F20" s="4" t="n">
        <f aca="false">MEDIAN(F2:F16)</f>
        <v>237</v>
      </c>
      <c r="G20" s="4" t="n">
        <f aca="false">MEDIAN(G2:G16)</f>
        <v>79</v>
      </c>
    </row>
    <row r="21" customFormat="false" ht="15" hidden="false" customHeight="false" outlineLevel="0" collapsed="false">
      <c r="B21" s="5" t="s">
        <v>27</v>
      </c>
      <c r="C21" s="4" t="n">
        <f aca="false">IFERROR(MODE(C2:C16),"нет")</f>
        <v>65</v>
      </c>
      <c r="D21" s="4" t="n">
        <f aca="false">IFERROR(MODE(D2:D16),"нет")</f>
        <v>78</v>
      </c>
      <c r="E21" s="4" t="n">
        <f aca="false">IFERROR(MODE(E2:E16),"нет")</f>
        <v>80</v>
      </c>
      <c r="F21" s="4" t="str">
        <f aca="false">IFERROR(MODE(F2:F16),"нет")</f>
        <v>нет</v>
      </c>
      <c r="G21" s="4" t="str">
        <f aca="false">IFERROR(MODE(G2:G16),"нет")</f>
        <v>нет</v>
      </c>
    </row>
    <row r="22" customFormat="false" ht="15" hidden="false" customHeight="false" outlineLevel="0" collapsed="false">
      <c r="B22" s="5" t="s">
        <v>28</v>
      </c>
      <c r="C22" s="4" t="n">
        <f aca="false">MIN(C2:C16)</f>
        <v>55</v>
      </c>
      <c r="D22" s="4" t="n">
        <f aca="false">MIN(D2:D16)</f>
        <v>55</v>
      </c>
      <c r="E22" s="4" t="n">
        <f aca="false">MIN(E2:E16)</f>
        <v>58</v>
      </c>
      <c r="F22" s="4" t="n">
        <f aca="false">MIN(F2:F16)</f>
        <v>173</v>
      </c>
      <c r="G22" s="4" t="n">
        <f aca="false">MIN(G2:G16)</f>
        <v>57.6666666666667</v>
      </c>
    </row>
    <row r="23" customFormat="false" ht="15" hidden="false" customHeight="false" outlineLevel="0" collapsed="false">
      <c r="B23" s="5" t="s">
        <v>29</v>
      </c>
      <c r="C23" s="4" t="n">
        <f aca="false">MAX(C2:C16)</f>
        <v>98</v>
      </c>
      <c r="D23" s="4" t="n">
        <f aca="false">MAX(D2:D16)</f>
        <v>95</v>
      </c>
      <c r="E23" s="4" t="n">
        <f aca="false">MAX(E2:E16)</f>
        <v>100</v>
      </c>
      <c r="F23" s="4" t="n">
        <f aca="false">MAX(F2:F16)</f>
        <v>293</v>
      </c>
      <c r="G23" s="4" t="n">
        <f aca="false">MAX(G2:G16)</f>
        <v>97.6666666666667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7"/>
  </cols>
  <sheetData>
    <row r="1" customFormat="false" ht="15" hidden="false" customHeight="false" outlineLevel="0" collapsed="false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8</v>
      </c>
    </row>
    <row r="2" customFormat="false" ht="15" hidden="false" customHeight="false" outlineLevel="0" collapsed="false">
      <c r="A2" s="2" t="n">
        <v>1</v>
      </c>
      <c r="B2" s="3" t="s">
        <v>36</v>
      </c>
      <c r="C2" s="6" t="n">
        <v>45000</v>
      </c>
      <c r="D2" s="6" t="n">
        <v>12</v>
      </c>
      <c r="E2" s="6" t="n">
        <f aca="false">C2*D2</f>
        <v>540000</v>
      </c>
      <c r="F2" s="2" t="str">
        <f aca="false">IF(E2&gt;100000,"Топ",IF(E2&gt;50000,"Средний","Низкий"))</f>
        <v>Топ</v>
      </c>
      <c r="G2" s="7" t="n">
        <f aca="false">E2/$E$18</f>
        <v>0.286001800752079</v>
      </c>
      <c r="H2" s="2" t="n">
        <f aca="false">RANK(E2,$E$2:$E$16)</f>
        <v>1</v>
      </c>
    </row>
    <row r="3" customFormat="false" ht="15" hidden="false" customHeight="false" outlineLevel="0" collapsed="false">
      <c r="A3" s="2" t="n">
        <v>2</v>
      </c>
      <c r="B3" s="3" t="s">
        <v>37</v>
      </c>
      <c r="C3" s="6" t="n">
        <v>18000</v>
      </c>
      <c r="D3" s="6" t="n">
        <v>25</v>
      </c>
      <c r="E3" s="6" t="n">
        <f aca="false">C3*D3</f>
        <v>450000</v>
      </c>
      <c r="F3" s="2" t="str">
        <f aca="false">IF(E3&gt;100000,"Топ",IF(E3&gt;50000,"Средний","Низкий"))</f>
        <v>Топ</v>
      </c>
      <c r="G3" s="7" t="n">
        <f aca="false">E3/$E$18</f>
        <v>0.238334833960066</v>
      </c>
      <c r="H3" s="2" t="n">
        <f aca="false">RANK(E3,$E$2:$E$16)</f>
        <v>2</v>
      </c>
    </row>
    <row r="4" customFormat="false" ht="15" hidden="false" customHeight="false" outlineLevel="0" collapsed="false">
      <c r="A4" s="2" t="n">
        <v>3</v>
      </c>
      <c r="B4" s="3" t="s">
        <v>38</v>
      </c>
      <c r="C4" s="6" t="n">
        <v>1500</v>
      </c>
      <c r="D4" s="6" t="n">
        <v>60</v>
      </c>
      <c r="E4" s="6" t="n">
        <f aca="false">C4*D4</f>
        <v>90000</v>
      </c>
      <c r="F4" s="2" t="str">
        <f aca="false">IF(E4&gt;100000,"Топ",IF(E4&gt;50000,"Средний","Низкий"))</f>
        <v>Средний</v>
      </c>
      <c r="G4" s="7" t="n">
        <f aca="false">E4/$E$18</f>
        <v>0.0476669667920131</v>
      </c>
      <c r="H4" s="2" t="n">
        <f aca="false">RANK(E4,$E$2:$E$16)</f>
        <v>5</v>
      </c>
    </row>
    <row r="5" customFormat="false" ht="15" hidden="false" customHeight="false" outlineLevel="0" collapsed="false">
      <c r="A5" s="2" t="n">
        <v>4</v>
      </c>
      <c r="B5" s="3" t="s">
        <v>39</v>
      </c>
      <c r="C5" s="6" t="n">
        <v>800</v>
      </c>
      <c r="D5" s="6" t="n">
        <v>85</v>
      </c>
      <c r="E5" s="6" t="n">
        <f aca="false">C5*D5</f>
        <v>68000</v>
      </c>
      <c r="F5" s="2" t="str">
        <f aca="false">IF(E5&gt;100000,"Топ",IF(E5&gt;50000,"Средний","Низкий"))</f>
        <v>Средний</v>
      </c>
      <c r="G5" s="7" t="n">
        <f aca="false">E5/$E$18</f>
        <v>0.0360150415761877</v>
      </c>
      <c r="H5" s="2" t="n">
        <f aca="false">RANK(E5,$E$2:$E$16)</f>
        <v>9</v>
      </c>
    </row>
    <row r="6" customFormat="false" ht="15" hidden="false" customHeight="false" outlineLevel="0" collapsed="false">
      <c r="A6" s="2" t="n">
        <v>5</v>
      </c>
      <c r="B6" s="3" t="s">
        <v>40</v>
      </c>
      <c r="C6" s="6" t="n">
        <v>12000</v>
      </c>
      <c r="D6" s="6" t="n">
        <v>8</v>
      </c>
      <c r="E6" s="6" t="n">
        <f aca="false">C6*D6</f>
        <v>96000</v>
      </c>
      <c r="F6" s="2" t="str">
        <f aca="false">IF(E6&gt;100000,"Топ",IF(E6&gt;50000,"Средний","Низкий"))</f>
        <v>Средний</v>
      </c>
      <c r="G6" s="7" t="n">
        <f aca="false">E6/$E$18</f>
        <v>0.0508447645781473</v>
      </c>
      <c r="H6" s="2" t="n">
        <f aca="false">RANK(E6,$E$2:$E$16)</f>
        <v>4</v>
      </c>
    </row>
    <row r="7" customFormat="false" ht="15" hidden="false" customHeight="false" outlineLevel="0" collapsed="false">
      <c r="A7" s="2" t="n">
        <v>6</v>
      </c>
      <c r="B7" s="3" t="s">
        <v>41</v>
      </c>
      <c r="C7" s="6" t="n">
        <v>9000</v>
      </c>
      <c r="D7" s="6" t="n">
        <v>6</v>
      </c>
      <c r="E7" s="6" t="n">
        <f aca="false">C7*D7</f>
        <v>54000</v>
      </c>
      <c r="F7" s="2" t="str">
        <f aca="false">IF(E7&gt;100000,"Топ",IF(E7&gt;50000,"Средний","Низкий"))</f>
        <v>Средний</v>
      </c>
      <c r="G7" s="7" t="n">
        <f aca="false">E7/$E$18</f>
        <v>0.0286001800752079</v>
      </c>
      <c r="H7" s="2" t="n">
        <f aca="false">RANK(E7,$E$2:$E$16)</f>
        <v>12</v>
      </c>
    </row>
    <row r="8" customFormat="false" ht="15" hidden="false" customHeight="false" outlineLevel="0" collapsed="false">
      <c r="A8" s="2" t="n">
        <v>7</v>
      </c>
      <c r="B8" s="3" t="s">
        <v>42</v>
      </c>
      <c r="C8" s="6" t="n">
        <v>600</v>
      </c>
      <c r="D8" s="6" t="n">
        <v>120</v>
      </c>
      <c r="E8" s="6" t="n">
        <f aca="false">C8*D8</f>
        <v>72000</v>
      </c>
      <c r="F8" s="2" t="str">
        <f aca="false">IF(E8&gt;100000,"Топ",IF(E8&gt;50000,"Средний","Низкий"))</f>
        <v>Средний</v>
      </c>
      <c r="G8" s="7" t="n">
        <f aca="false">E8/$E$18</f>
        <v>0.0381335734336105</v>
      </c>
      <c r="H8" s="2" t="n">
        <f aca="false">RANK(E8,$E$2:$E$16)</f>
        <v>7</v>
      </c>
    </row>
    <row r="9" customFormat="false" ht="15" hidden="false" customHeight="false" outlineLevel="0" collapsed="false">
      <c r="A9" s="2" t="n">
        <v>8</v>
      </c>
      <c r="B9" s="3" t="s">
        <v>43</v>
      </c>
      <c r="C9" s="6" t="n">
        <v>5500</v>
      </c>
      <c r="D9" s="6" t="n">
        <v>15</v>
      </c>
      <c r="E9" s="6" t="n">
        <f aca="false">C9*D9</f>
        <v>82500</v>
      </c>
      <c r="F9" s="2" t="str">
        <f aca="false">IF(E9&gt;100000,"Топ",IF(E9&gt;50000,"Средний","Низкий"))</f>
        <v>Средний</v>
      </c>
      <c r="G9" s="7" t="n">
        <f aca="false">E9/$E$18</f>
        <v>0.0436947195593454</v>
      </c>
      <c r="H9" s="2" t="n">
        <f aca="false">RANK(E9,$E$2:$E$16)</f>
        <v>6</v>
      </c>
    </row>
    <row r="10" customFormat="false" ht="15" hidden="false" customHeight="false" outlineLevel="0" collapsed="false">
      <c r="A10" s="2" t="n">
        <v>9</v>
      </c>
      <c r="B10" s="3" t="s">
        <v>44</v>
      </c>
      <c r="C10" s="6" t="n">
        <v>2800</v>
      </c>
      <c r="D10" s="6" t="n">
        <v>22</v>
      </c>
      <c r="E10" s="6" t="n">
        <f aca="false">C10*D10</f>
        <v>61600</v>
      </c>
      <c r="F10" s="2" t="str">
        <f aca="false">IF(E10&gt;100000,"Топ",IF(E10&gt;50000,"Средний","Низкий"))</f>
        <v>Средний</v>
      </c>
      <c r="G10" s="7" t="n">
        <f aca="false">E10/$E$18</f>
        <v>0.0326253906043112</v>
      </c>
      <c r="H10" s="2" t="n">
        <f aca="false">RANK(E10,$E$2:$E$16)</f>
        <v>11</v>
      </c>
    </row>
    <row r="11" customFormat="false" ht="15" hidden="false" customHeight="false" outlineLevel="0" collapsed="false">
      <c r="A11" s="2" t="n">
        <v>10</v>
      </c>
      <c r="B11" s="3" t="s">
        <v>45</v>
      </c>
      <c r="C11" s="6" t="n">
        <v>3200</v>
      </c>
      <c r="D11" s="6" t="n">
        <v>35</v>
      </c>
      <c r="E11" s="6" t="n">
        <f aca="false">C11*D11</f>
        <v>112000</v>
      </c>
      <c r="F11" s="2" t="str">
        <f aca="false">IF(E11&gt;100000,"Топ",IF(E11&gt;50000,"Средний","Низкий"))</f>
        <v>Топ</v>
      </c>
      <c r="G11" s="7" t="n">
        <f aca="false">E11/$E$18</f>
        <v>0.0593188920078386</v>
      </c>
      <c r="H11" s="2" t="n">
        <f aca="false">RANK(E11,$E$2:$E$16)</f>
        <v>3</v>
      </c>
    </row>
    <row r="12" customFormat="false" ht="15" hidden="false" customHeight="false" outlineLevel="0" collapsed="false">
      <c r="A12" s="2" t="n">
        <v>11</v>
      </c>
      <c r="B12" s="3" t="s">
        <v>46</v>
      </c>
      <c r="C12" s="6" t="n">
        <v>400</v>
      </c>
      <c r="D12" s="6" t="n">
        <v>90</v>
      </c>
      <c r="E12" s="6" t="n">
        <f aca="false">C12*D12</f>
        <v>36000</v>
      </c>
      <c r="F12" s="2" t="str">
        <f aca="false">IF(E12&gt;100000,"Топ",IF(E12&gt;50000,"Средний","Низкий"))</f>
        <v>Низкий</v>
      </c>
      <c r="G12" s="7" t="n">
        <f aca="false">E12/$E$18</f>
        <v>0.0190667867168053</v>
      </c>
      <c r="H12" s="2" t="n">
        <f aca="false">RANK(E12,$E$2:$E$16)</f>
        <v>15</v>
      </c>
    </row>
    <row r="13" customFormat="false" ht="15" hidden="false" customHeight="false" outlineLevel="0" collapsed="false">
      <c r="A13" s="2" t="n">
        <v>12</v>
      </c>
      <c r="B13" s="3" t="s">
        <v>47</v>
      </c>
      <c r="C13" s="6" t="n">
        <v>1200</v>
      </c>
      <c r="D13" s="6" t="n">
        <v>40</v>
      </c>
      <c r="E13" s="6" t="n">
        <f aca="false">C13*D13</f>
        <v>48000</v>
      </c>
      <c r="F13" s="2" t="str">
        <f aca="false">IF(E13&gt;100000,"Топ",IF(E13&gt;50000,"Средний","Низкий"))</f>
        <v>Низкий</v>
      </c>
      <c r="G13" s="7" t="n">
        <f aca="false">E13/$E$18</f>
        <v>0.0254223822890737</v>
      </c>
      <c r="H13" s="2" t="n">
        <f aca="false">RANK(E13,$E$2:$E$16)</f>
        <v>13</v>
      </c>
    </row>
    <row r="14" customFormat="false" ht="15" hidden="false" customHeight="false" outlineLevel="0" collapsed="false">
      <c r="A14" s="2" t="n">
        <v>13</v>
      </c>
      <c r="B14" s="3" t="s">
        <v>48</v>
      </c>
      <c r="C14" s="6" t="n">
        <v>2500</v>
      </c>
      <c r="D14" s="6" t="n">
        <v>18</v>
      </c>
      <c r="E14" s="6" t="n">
        <f aca="false">C14*D14</f>
        <v>45000</v>
      </c>
      <c r="F14" s="2" t="str">
        <f aca="false">IF(E14&gt;100000,"Топ",IF(E14&gt;50000,"Средний","Низкий"))</f>
        <v>Низкий</v>
      </c>
      <c r="G14" s="7" t="n">
        <f aca="false">E14/$E$18</f>
        <v>0.0238334833960066</v>
      </c>
      <c r="H14" s="2" t="n">
        <f aca="false">RANK(E14,$E$2:$E$16)</f>
        <v>14</v>
      </c>
    </row>
    <row r="15" customFormat="false" ht="15" hidden="false" customHeight="false" outlineLevel="0" collapsed="false">
      <c r="A15" s="2" t="n">
        <v>14</v>
      </c>
      <c r="B15" s="3" t="s">
        <v>49</v>
      </c>
      <c r="C15" s="6" t="n">
        <v>350</v>
      </c>
      <c r="D15" s="6" t="n">
        <v>200</v>
      </c>
      <c r="E15" s="6" t="n">
        <f aca="false">C15*D15</f>
        <v>70000</v>
      </c>
      <c r="F15" s="2" t="str">
        <f aca="false">IF(E15&gt;100000,"Топ",IF(E15&gt;50000,"Средний","Низкий"))</f>
        <v>Средний</v>
      </c>
      <c r="G15" s="7" t="n">
        <f aca="false">E15/$E$18</f>
        <v>0.0370743075048991</v>
      </c>
      <c r="H15" s="2" t="n">
        <f aca="false">RANK(E15,$E$2:$E$16)</f>
        <v>8</v>
      </c>
    </row>
    <row r="16" customFormat="false" ht="15" hidden="false" customHeight="false" outlineLevel="0" collapsed="false">
      <c r="A16" s="2" t="n">
        <v>15</v>
      </c>
      <c r="B16" s="3" t="s">
        <v>50</v>
      </c>
      <c r="C16" s="6" t="n">
        <v>4500</v>
      </c>
      <c r="D16" s="6" t="n">
        <v>14</v>
      </c>
      <c r="E16" s="6" t="n">
        <f aca="false">C16*D16</f>
        <v>63000</v>
      </c>
      <c r="F16" s="2" t="str">
        <f aca="false">IF(E16&gt;100000,"Топ",IF(E16&gt;50000,"Средний","Низкий"))</f>
        <v>Средний</v>
      </c>
      <c r="G16" s="7" t="n">
        <f aca="false">E16/$E$18</f>
        <v>0.0333668767544092</v>
      </c>
      <c r="H16" s="2" t="n">
        <f aca="false">RANK(E16,$E$2:$E$16)</f>
        <v>10</v>
      </c>
    </row>
    <row r="18" customFormat="false" ht="15" hidden="false" customHeight="false" outlineLevel="0" collapsed="false">
      <c r="B18" s="5" t="s">
        <v>24</v>
      </c>
      <c r="C18" s="2"/>
      <c r="D18" s="2"/>
      <c r="E18" s="8" t="n">
        <f aca="false">SUM(E2:E16)</f>
        <v>1888100</v>
      </c>
    </row>
    <row r="19" customFormat="false" ht="15" hidden="false" customHeight="false" outlineLevel="0" collapsed="false">
      <c r="B19" s="5" t="s">
        <v>25</v>
      </c>
      <c r="C19" s="2"/>
      <c r="D19" s="2"/>
      <c r="E19" s="8" t="n">
        <f aca="false">AVERAGE(E2:E16)</f>
        <v>125873.333333333</v>
      </c>
    </row>
    <row r="20" customFormat="false" ht="15" hidden="false" customHeight="false" outlineLevel="0" collapsed="false">
      <c r="B20" s="5" t="s">
        <v>26</v>
      </c>
      <c r="C20" s="2"/>
      <c r="D20" s="2"/>
      <c r="E20" s="8" t="n">
        <f aca="false">MEDIAN(E2:E16)</f>
        <v>70000</v>
      </c>
    </row>
    <row r="21" customFormat="false" ht="15" hidden="false" customHeight="false" outlineLevel="0" collapsed="false">
      <c r="B21" s="5" t="s">
        <v>27</v>
      </c>
      <c r="C21" s="2"/>
      <c r="D21" s="2"/>
      <c r="E21" s="8" t="str">
        <f aca="false">IFERROR(MODE(E2:E16),"нет")</f>
        <v>нет</v>
      </c>
    </row>
    <row r="22" customFormat="false" ht="15" hidden="false" customHeight="false" outlineLevel="0" collapsed="false">
      <c r="B22" s="5" t="s">
        <v>28</v>
      </c>
      <c r="C22" s="2"/>
      <c r="D22" s="2"/>
      <c r="E22" s="8" t="n">
        <f aca="false">MIN(E2:E16)</f>
        <v>36000</v>
      </c>
    </row>
    <row r="23" customFormat="false" ht="15" hidden="false" customHeight="false" outlineLevel="0" collapsed="false">
      <c r="B23" s="5" t="s">
        <v>29</v>
      </c>
      <c r="C23" s="2"/>
      <c r="D23" s="2"/>
      <c r="E23" s="8" t="n">
        <f aca="false">MAX(E2:E16)</f>
        <v>540000</v>
      </c>
    </row>
    <row r="24" customFormat="false" ht="15" hidden="false" customHeight="false" outlineLevel="0" collapsed="false">
      <c r="B24" s="5" t="s">
        <v>51</v>
      </c>
      <c r="C24" s="2"/>
      <c r="D24" s="2"/>
      <c r="E24" s="8" t="n">
        <f aca="false">STDEV(E2:E16)</f>
        <v>152155.317576044</v>
      </c>
    </row>
    <row r="25" customFormat="false" ht="15" hidden="false" customHeight="false" outlineLevel="0" collapsed="false">
      <c r="B25" s="5" t="s">
        <v>52</v>
      </c>
      <c r="C25" s="2"/>
      <c r="D25" s="2"/>
      <c r="E25" s="8" t="n">
        <f aca="false">VAR(E2:E16)</f>
        <v>23151240666.6667</v>
      </c>
    </row>
    <row r="26" customFormat="false" ht="15" hidden="false" customHeight="false" outlineLevel="0" collapsed="false">
      <c r="B26" s="5" t="s">
        <v>53</v>
      </c>
      <c r="C26" s="2"/>
      <c r="D26" s="2"/>
      <c r="E26" s="4" t="n">
        <f aca="false">COUNTIF(F2:F16,"Топ")</f>
        <v>3</v>
      </c>
    </row>
    <row r="27" customFormat="false" ht="15" hidden="false" customHeight="false" outlineLevel="0" collapsed="false">
      <c r="B27" s="5" t="s">
        <v>54</v>
      </c>
      <c r="C27" s="2"/>
      <c r="D27" s="2"/>
      <c r="E27" s="8" t="n">
        <f aca="false">SUMIF(F2:F16,"Топ",E2:E16)</f>
        <v>1102000</v>
      </c>
    </row>
    <row r="28" customFormat="false" ht="15" hidden="false" customHeight="false" outlineLevel="0" collapsed="false">
      <c r="B28" s="5" t="s">
        <v>55</v>
      </c>
      <c r="C28" s="2"/>
      <c r="D28" s="2"/>
      <c r="E28" s="8" t="n">
        <f aca="false">AVERAGEIF(F2:F16,"Средний",E2:E16)</f>
        <v>73011.1111111111</v>
      </c>
    </row>
    <row r="29" customFormat="false" ht="15" hidden="false" customHeight="false" outlineLevel="0" collapsed="false">
      <c r="B29" s="5" t="s">
        <v>56</v>
      </c>
      <c r="C29" s="2"/>
      <c r="D29" s="2"/>
      <c r="E29" s="9" t="n">
        <f aca="false">CORREL(C2:C16,D2:D16)</f>
        <v>-0.39694833806521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2026-10-27T21:30:06Z</dcterms:created>
  <dc:creator>openpyxl</dc:creator>
  <dc:description/>
  <dc:language>ru-RU</dc:language>
  <cp:lastModifiedBy/>
  <dcterms:modified xsi:type="dcterms:W3CDTF">2026-10-27T21:30:06Z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