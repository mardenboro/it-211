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асчет заработной платы" sheetId="1" state="visible" r:id="rId3"/>
    <sheet name="Товар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<sst xmlns="http://schemas.openxmlformats.org/spreadsheetml/2006/main" count="31" uniqueCount="30">
  <si>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ФИО сотрудника</t>
  </si>
  <si>
    <t xml:space="preserve">Оклад (руб.)</t>
  </si>
  <si>
    <t xml:space="preserve">Премия (%)</t>
  </si>
  <si>
    <t xml:space="preserve">Премия (руб.)</t>
  </si>
  <si>
    <t xml:space="preserve">НДФЛ (13%)</t>
  </si>
  <si>
    <t xml:space="preserve">К выдаче</t>
  </si>
  <si>
    <t xml:space="preserve">№ п/п</t>
  </si>
  <si>
    <t xml:space="preserve">Ставка НДФЛ:</t>
  </si>
  <si>
    <t xml:space="preserve">Коэффициент:</t>
  </si>
  <si>
    <t xml:space="preserve">Иванов И.И.</t>
  </si>
  <si>
    <t xml:space="preserve">Петров П.П.</t>
  </si>
  <si>
    <t xml:space="preserve">Сидоров С.С.</t>
  </si>
  <si>
    <t xml:space="preserve">Кузнецова К.К.</t>
  </si>
  <si>
    <t xml:space="preserve">Смирнов С.С.</t>
  </si>
  <si>
    <t xml:space="preserve">ИТОГО:</t>
  </si>
  <si>
    <t xml:space="preserve">Средняя зарплата:</t>
  </si>
  <si>
    <t xml:space="preserve">Максимум:</t>
  </si>
  <si>
    <t xml:space="preserve">Минимум:</t>
  </si>
  <si>
    <t xml:space="preserve">Товар</t>
  </si>
  <si>
    <t xml:space="preserve">Цена за ед.</t>
  </si>
  <si>
    <t xml:space="preserve">Кол-во</t>
  </si>
  <si>
    <t xml:space="preserve">Скидка %</t>
  </si>
  <si>
    <t xml:space="preserve">Стоимость</t>
  </si>
  <si>
    <t xml:space="preserve">Итого со скидкой</t>
  </si>
  <si>
    <t xml:space="preserve">НДС</t>
  </si>
  <si>
    <t xml:space="preserve">Ставка НДС:</t>
  </si>
  <si>
    <t xml:space="preserve">Ноутбук</t>
  </si>
  <si>
    <t xml:space="preserve">Монитор</t>
  </si>
  <si>
    <t xml:space="preserve">Клавиатура</t>
  </si>
  <si>
    <t xml:space="preserve">Мышь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</si>
</sst>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₽&quot;"/>
    <numFmt numFmtId="166" formatCode="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6" min="4" style="0" width="16"/>
    <col collapsed="false" customWidth="true" hidden="false" outlineLevel="0" max="7" min="7" style="0" width="9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1" min="10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2" t="n">
        <v>50000</v>
      </c>
      <c r="C2" s="0" t="n">
        <v>20</v>
      </c>
      <c r="D2" s="2" t="n">
        <f aca="false">B2*C2/100</f>
        <v>10000</v>
      </c>
      <c r="E2" s="2" t="n">
        <f aca="false">(B2+D2)*$H$2</f>
        <v>7800</v>
      </c>
      <c r="F2" s="2" t="n">
        <f aca="false">B2+D2-E2</f>
        <v>52200</v>
      </c>
      <c r="G2" s="0" t="n">
        <v>1</v>
      </c>
      <c r="H2" s="3" t="n">
        <v>0.13</v>
      </c>
      <c r="I2" s="0" t="n">
        <v>1.5</v>
      </c>
      <c r="J2" s="2" t="n">
        <f aca="false">B2*$I$2</f>
        <v>75000</v>
      </c>
      <c r="K2" s="2" t="n">
        <f aca="false">B2*$I$2</f>
        <v>75000</v>
      </c>
    </row>
    <row r="3" customFormat="false" ht="15" hidden="false" customHeight="false" outlineLevel="0" collapsed="false">
      <c r="A3" s="0" t="s">
        <v>10</v>
      </c>
      <c r="B3" s="2" t="n">
        <v>45000</v>
      </c>
      <c r="C3" s="0" t="n">
        <v>15</v>
      </c>
      <c r="D3" s="2" t="n">
        <f aca="false">B3*C3/100</f>
        <v>6750</v>
      </c>
      <c r="E3" s="2" t="n">
        <f aca="false">(B3+D3)*$H$2</f>
        <v>6727.5</v>
      </c>
      <c r="F3" s="2" t="n">
        <f aca="false">B3+D3-E3</f>
        <v>45022.5</v>
      </c>
      <c r="G3" s="0" t="n">
        <v>2</v>
      </c>
    </row>
    <row r="4" customFormat="false" ht="15" hidden="false" customHeight="false" outlineLevel="0" collapsed="false">
      <c r="A4" s="0" t="s">
        <v>11</v>
      </c>
      <c r="B4" s="2" t="n">
        <v>62000</v>
      </c>
      <c r="C4" s="0" t="n">
        <v>25</v>
      </c>
      <c r="D4" s="2" t="n">
        <f aca="false">B4*C4/100</f>
        <v>15500</v>
      </c>
      <c r="E4" s="2" t="n">
        <f aca="false">(B4+D4)*$H$2</f>
        <v>10075</v>
      </c>
      <c r="F4" s="2" t="n">
        <f aca="false">B4+D4-E4</f>
        <v>67425</v>
      </c>
      <c r="G4" s="0" t="n">
        <v>3</v>
      </c>
    </row>
    <row r="5" customFormat="false" ht="15" hidden="false" customHeight="false" outlineLevel="0" collapsed="false">
      <c r="A5" s="0" t="s">
        <v>12</v>
      </c>
      <c r="B5" s="2" t="n">
        <v>55000</v>
      </c>
      <c r="C5" s="0" t="n">
        <v>10</v>
      </c>
      <c r="D5" s="2" t="n">
        <f aca="false">B5*C5/100</f>
        <v>5500</v>
      </c>
      <c r="E5" s="2" t="n">
        <f aca="false">(B5+D5)*$H$2</f>
        <v>7865</v>
      </c>
      <c r="F5" s="2" t="n">
        <f aca="false">B5+D5-E5</f>
        <v>52635</v>
      </c>
      <c r="G5" s="0" t="n">
        <v>4</v>
      </c>
    </row>
    <row r="6" customFormat="false" ht="15" hidden="false" customHeight="false" outlineLevel="0" collapsed="false">
      <c r="A6" s="0" t="s">
        <v>13</v>
      </c>
      <c r="B6" s="2" t="n">
        <v>40000</v>
      </c>
      <c r="C6" s="0" t="n">
        <v>30</v>
      </c>
      <c r="D6" s="2" t="n">
        <f aca="false">B6*C6/100</f>
        <v>12000</v>
      </c>
      <c r="E6" s="2" t="n">
        <f aca="false">(B6+D6)*$H$2</f>
        <v>6760</v>
      </c>
      <c r="F6" s="2" t="n">
        <f aca="false">B6+D6-E6</f>
        <v>45240</v>
      </c>
      <c r="G6" s="0" t="n">
        <v>5</v>
      </c>
    </row>
    <row r="7" customFormat="false" ht="15" hidden="false" customHeight="false" outlineLevel="0" collapsed="false">
      <c r="A7" s="4" t="s">
        <v>14</v>
      </c>
      <c r="B7" s="2" t="n">
        <f aca="false">SUM(B2:B6)</f>
        <v>252000</v>
      </c>
      <c r="D7" s="2" t="n">
        <f aca="false">SUM(D2:D6)</f>
        <v>49750</v>
      </c>
      <c r="E7" s="2" t="n">
        <f aca="false">SUM(E2:E6)</f>
        <v>39227.5</v>
      </c>
      <c r="F7" s="2" t="n">
        <f aca="false">SUM(F2:F6)</f>
        <v>262522.5</v>
      </c>
    </row>
    <row r="9" customFormat="false" ht="15" hidden="false" customHeight="false" outlineLevel="0" collapsed="false">
      <c r="A9" s="0" t="s">
        <v>15</v>
      </c>
      <c r="B9" s="2" t="n">
        <f aca="false">AVERAGE(F2:F6)</f>
        <v>52504.5</v>
      </c>
    </row>
    <row r="10" customFormat="false" ht="15" hidden="false" customHeight="false" outlineLevel="0" collapsed="false">
      <c r="A10" s="0" t="s">
        <v>16</v>
      </c>
      <c r="B10" s="2" t="n">
        <f aca="false">MAX(F2:F6)</f>
        <v>67425</v>
      </c>
    </row>
    <row r="11" customFormat="false" ht="15" hidden="false" customHeight="false" outlineLevel="0" collapsed="false">
      <c r="A11" s="0" t="s">
        <v>17</v>
      </c>
      <c r="B11" s="2" t="n">
        <f aca="false">MIN(F2:F6)</f>
        <v>45022.5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4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6"/>
      <c r="I1" s="6" t="s">
        <v>25</v>
      </c>
    </row>
    <row r="2" customFormat="false" ht="15" hidden="false" customHeight="false" outlineLevel="0" collapsed="false">
      <c r="A2" s="0" t="s">
        <v>26</v>
      </c>
      <c r="B2" s="2" t="n">
        <v>45000</v>
      </c>
      <c r="C2" s="0" t="n">
        <v>5</v>
      </c>
      <c r="D2" s="0" t="n">
        <v>5</v>
      </c>
      <c r="E2" s="2" t="n">
        <f aca="false">B2*C2</f>
        <v>225000</v>
      </c>
      <c r="F2" s="2" t="n">
        <f aca="false">E2*(1-D2/100)</f>
        <v>213750</v>
      </c>
      <c r="G2" s="2" t="n">
        <f aca="false">E2*$I$2</f>
        <v>45000</v>
      </c>
      <c r="I2" s="7" t="n">
        <v>0.2</v>
      </c>
    </row>
    <row r="3" customFormat="false" ht="15" hidden="false" customHeight="false" outlineLevel="0" collapsed="false">
      <c r="A3" s="0" t="s">
        <v>27</v>
      </c>
      <c r="B3" s="2" t="n">
        <v>18000</v>
      </c>
      <c r="C3" s="0" t="n">
        <v>10</v>
      </c>
      <c r="D3" s="0" t="n">
        <v>3</v>
      </c>
      <c r="E3" s="2" t="n">
        <f aca="false">B3*C3</f>
        <v>180000</v>
      </c>
      <c r="F3" s="2" t="n">
        <f aca="false">E3*(1-D3/100)</f>
        <v>174600</v>
      </c>
      <c r="G3" s="2" t="n">
        <f aca="false">E3*$I$2</f>
        <v>36000</v>
      </c>
    </row>
    <row r="4" customFormat="false" ht="15" hidden="false" customHeight="false" outlineLevel="0" collapsed="false">
      <c r="A4" s="0" t="s">
        <v>28</v>
      </c>
      <c r="B4" s="2" t="n">
        <v>1500</v>
      </c>
      <c r="C4" s="0" t="n">
        <v>25</v>
      </c>
      <c r="D4" s="0" t="n">
        <v>10</v>
      </c>
      <c r="E4" s="2" t="n">
        <f aca="false">B4*C4</f>
        <v>37500</v>
      </c>
      <c r="F4" s="2" t="n">
        <f aca="false">E4*(1-D4/100)</f>
        <v>33750</v>
      </c>
      <c r="G4" s="2" t="n">
        <f aca="false">E4*$I$2</f>
        <v>7500</v>
      </c>
    </row>
    <row r="5" customFormat="false" ht="15" hidden="false" customHeight="false" outlineLevel="0" collapsed="false">
      <c r="A5" s="0" t="s">
        <v>29</v>
      </c>
      <c r="B5" s="2" t="n">
        <v>800</v>
      </c>
      <c r="C5" s="0" t="n">
        <v>30</v>
      </c>
      <c r="D5" s="0" t="n">
        <v>7</v>
      </c>
      <c r="E5" s="2" t="n">
        <f aca="false">B5*C5</f>
        <v>24000</v>
      </c>
      <c r="F5" s="2" t="n">
        <f aca="false">E5*(1-D5/100)</f>
        <v>22320</v>
      </c>
      <c r="G5" s="2" t="n">
        <f aca="false">E5*$I$2</f>
        <v>4800</v>
      </c>
    </row>
    <row r="6" customFormat="false" ht="15" hidden="false" customHeight="false" outlineLevel="0" collapsed="false">
      <c r="A6" s="4" t="s">
        <v>14</v>
      </c>
      <c r="B6" s="2"/>
      <c r="E6" s="2"/>
      <c r="F6" s="2" t="n">
        <f aca="false">SUM(F2:F5)</f>
        <v>444420</v>
      </c>
      <c r="G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LibreOffice/26.8.1.1$Windows_X86_64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2026-10-27T21:30:06Z</dcterms:created>
  <dc:creator>openpyxl</dc:creator>
  <dc:description/>
  <dc:language>ru-RU</dc:language>
  <cp:lastModifiedBy/>
  <dcterms:modified xsi:type="dcterms:W3CDTF">2026-10-27T21:30:06Z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