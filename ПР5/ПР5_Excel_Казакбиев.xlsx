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Математика" sheetId="1" state="visible" r:id="rId3"/>
    <sheet name="Расчет кредита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<sst xmlns="http://schemas.openxmlformats.org/spreadsheetml/2006/main" count="17" uniqueCount="17">
  <si>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№ детали</t>
  </si>
  <si>
    <t xml:space="preserve">Радиус R (мм)</t>
  </si>
  <si>
    <t xml:space="preserve">Высота h (мм)</t>
  </si>
  <si>
    <t xml:space="preserve">Масса m (кг)</t>
  </si>
  <si>
    <t xml:space="preserve">Длина L (мм)</t>
  </si>
  <si>
    <t xml:space="preserve">Диаметр (мм)</t>
  </si>
  <si>
    <t xml:space="preserve">Объем (мм³)</t>
  </si>
  <si>
    <t xml:space="preserve">√V</t>
  </si>
  <si>
    <t xml:space="preserve">|m − 3|</t>
  </si>
  <si>
    <t xml:space="preserve">Длина дуги</t>
  </si>
  <si>
    <t xml:space="preserve">Дуга через РАДИАНЫ</t>
  </si>
  <si>
    <t xml:space="preserve">Сумма кредита</t>
  </si>
  <si>
    <t xml:space="preserve">Годовая ставка</t>
  </si>
  <si>
    <t xml:space="preserve">Срок (лет)</t>
  </si>
  <si>
    <t xml:space="preserve">Ежемесячный платёж (аннуитет)</t>
  </si>
  <si>
    <t xml:space="preserve">Общая сумма выплат</t>
  </si>
  <si>
    <t xml:space="preserve">Переплата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</si>
</sst>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"/>
    <numFmt numFmtId="166" formatCode="0.00"/>
    <numFmt numFmtId="167" formatCode="0.0"/>
    <numFmt numFmtId="168" formatCode="0%"/>
    <numFmt numFmtId="169" formatCode="0"/>
    <numFmt numFmtId="170" formatCode="0.000"/>
    <numFmt numFmtId="171" formatCode="#,##0.00&quot; ₽&quot;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4"/>
    <col collapsed="false" customWidth="true" hidden="false" outlineLevel="0" max="5" min="4" style="0" width="13"/>
    <col collapsed="false" customWidth="true" hidden="false" outlineLevel="0" max="7" min="6" style="0" width="14"/>
    <col collapsed="false" customWidth="true" hidden="false" outlineLevel="0" max="9" min="8" style="0" width="10"/>
    <col collapsed="false" customWidth="true" hidden="false" outlineLevel="0" max="20" min="20" style="0" width="14"/>
    <col collapsed="false" customWidth="true" hidden="false" outlineLevel="0" max="24" min="24" style="0" width="14"/>
    <col collapsed="false" customWidth="true" hidden="false" outlineLevel="0" max="25" min="25" style="0" width="6"/>
    <col collapsed="false" customWidth="true" hidden="false" outlineLevel="0" max="26" min="26" style="0" width="20"/>
    <col collapsed="false" customWidth="true" hidden="false" outlineLevel="0" max="27" min="27" style="0" width="12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0" t="n">
        <v>3</v>
      </c>
      <c r="T1" s="2" t="n">
        <v>100000</v>
      </c>
      <c r="X1" s="1" t="s">
        <v>9</v>
      </c>
      <c r="Y1" s="0" t="n">
        <v>60</v>
      </c>
      <c r="Z1" s="1" t="s">
        <v>10</v>
      </c>
      <c r="AA1" s="3" t="n">
        <f aca="false">SUM(D2:D8)</f>
        <v>21.8</v>
      </c>
    </row>
    <row r="2" customFormat="false" ht="15" hidden="false" customHeight="false" outlineLevel="0" collapsed="false">
      <c r="A2" s="4" t="n">
        <v>1</v>
      </c>
      <c r="B2" s="5" t="n">
        <v>12.5</v>
      </c>
      <c r="C2" s="5" t="n">
        <v>30</v>
      </c>
      <c r="D2" s="5" t="n">
        <v>2.4</v>
      </c>
      <c r="E2" s="5" t="n">
        <v>145</v>
      </c>
      <c r="F2" s="5" t="n">
        <f aca="false">2*B2</f>
        <v>25</v>
      </c>
      <c r="G2" s="5" t="n">
        <f aca="false">PI()*POWER(B2,2)*C2</f>
        <v>14726.2155637022</v>
      </c>
      <c r="H2" s="5" t="n">
        <f aca="false">SQRT(G2)</f>
        <v>121.351619534731</v>
      </c>
      <c r="I2" s="5" t="n">
        <f aca="false">ABS(D2-$K$1)</f>
        <v>0.6</v>
      </c>
      <c r="T2" s="6" t="n">
        <v>0.12</v>
      </c>
      <c r="X2" s="5" t="n">
        <f aca="false">PI()*B2*$Y$1/180</f>
        <v>13.0899693899575</v>
      </c>
      <c r="Z2" s="5" t="n">
        <f aca="false">B2*RADIANS($Y$1)</f>
        <v>13.0899693899575</v>
      </c>
      <c r="AA2" s="3" t="n">
        <f aca="false">SUMIF(D2:D8,"&gt;2")</f>
        <v>18.1</v>
      </c>
    </row>
    <row r="3" customFormat="false" ht="15" hidden="false" customHeight="false" outlineLevel="0" collapsed="false">
      <c r="A3" s="4" t="n">
        <v>2</v>
      </c>
      <c r="B3" s="5" t="n">
        <v>8.3</v>
      </c>
      <c r="C3" s="5" t="n">
        <v>25</v>
      </c>
      <c r="D3" s="5" t="n">
        <v>1.1</v>
      </c>
      <c r="E3" s="5" t="n">
        <v>98</v>
      </c>
      <c r="F3" s="5" t="n">
        <f aca="false">2*B3</f>
        <v>16.6</v>
      </c>
      <c r="G3" s="5" t="n">
        <f aca="false">PI()*POWER(B3,2)*C3</f>
        <v>5410.60794764502</v>
      </c>
      <c r="H3" s="5" t="n">
        <f aca="false">SQRT(G3)</f>
        <v>73.5568348125789</v>
      </c>
      <c r="I3" s="5" t="n">
        <f aca="false">ABS(D3-$K$1)</f>
        <v>1.9</v>
      </c>
      <c r="T3" s="0" t="n">
        <v>5</v>
      </c>
      <c r="X3" s="5" t="n">
        <f aca="false">PI()*B3*$Y$1/180</f>
        <v>8.69173967493176</v>
      </c>
      <c r="Z3" s="5" t="n">
        <f aca="false">B3*RADIANS($Y$1)</f>
        <v>8.69173967493176</v>
      </c>
      <c r="AA3" s="3" t="n">
        <f aca="false">SUMPRODUCT(D2:D8,E2:E8)/SUM(E2:E8)</f>
        <v>4.07446129289705</v>
      </c>
    </row>
    <row r="4" customFormat="false" ht="15" hidden="false" customHeight="false" outlineLevel="0" collapsed="false">
      <c r="A4" s="4" t="n">
        <v>3</v>
      </c>
      <c r="B4" s="5" t="n">
        <v>15.7</v>
      </c>
      <c r="C4" s="5" t="n">
        <v>40</v>
      </c>
      <c r="D4" s="5" t="n">
        <v>4</v>
      </c>
      <c r="E4" s="5" t="n">
        <v>210</v>
      </c>
      <c r="F4" s="5" t="n">
        <f aca="false">2*B4</f>
        <v>31.4</v>
      </c>
      <c r="G4" s="5" t="n">
        <f aca="false">PI()*POWER(B4,2)*C4</f>
        <v>30974.8469273339</v>
      </c>
      <c r="H4" s="5" t="n">
        <f aca="false">SQRT(G4)</f>
        <v>175.996724194895</v>
      </c>
      <c r="I4" s="5" t="n">
        <f aca="false">ABS(D4-$K$1)</f>
        <v>1</v>
      </c>
      <c r="T4" s="2" t="n">
        <f aca="false">T1*POWER(1+T2,T3)</f>
        <v>176234.16832</v>
      </c>
      <c r="X4" s="5" t="n">
        <f aca="false">PI()*B4*$Y$1/180</f>
        <v>16.4410015537866</v>
      </c>
      <c r="Z4" s="5" t="n">
        <f aca="false">B4*RADIANS($Y$1)</f>
        <v>16.4410015537866</v>
      </c>
      <c r="AA4" s="7" t="n">
        <f aca="false">COUNTIF(D2:D8,"&gt;2")</f>
        <v>4</v>
      </c>
    </row>
    <row r="5" customFormat="false" ht="15" hidden="false" customHeight="false" outlineLevel="0" collapsed="false">
      <c r="A5" s="4" t="n">
        <v>4</v>
      </c>
      <c r="B5" s="5" t="n">
        <v>6.2</v>
      </c>
      <c r="C5" s="5" t="n">
        <v>18</v>
      </c>
      <c r="D5" s="5" t="n">
        <v>0.7</v>
      </c>
      <c r="E5" s="5" t="n">
        <v>75</v>
      </c>
      <c r="F5" s="5" t="n">
        <f aca="false">2*B5</f>
        <v>12.4</v>
      </c>
      <c r="G5" s="5" t="n">
        <f aca="false">PI()*POWER(B5,2)*C5</f>
        <v>2173.73078887185</v>
      </c>
      <c r="H5" s="5" t="n">
        <f aca="false">SQRT(G5)</f>
        <v>46.6232859081366</v>
      </c>
      <c r="I5" s="5" t="n">
        <f aca="false">ABS(D5-$K$1)</f>
        <v>2.3</v>
      </c>
      <c r="T5" s="2" t="n">
        <f aca="false">T1*EXP(T2*T3)</f>
        <v>182211.880039051</v>
      </c>
      <c r="X5" s="5" t="n">
        <f aca="false">PI()*B5*$Y$1/180</f>
        <v>6.49262481741891</v>
      </c>
      <c r="Z5" s="5" t="n">
        <f aca="false">B5*RADIANS($Y$1)</f>
        <v>6.49262481741891</v>
      </c>
      <c r="AA5" s="3" t="n">
        <f aca="false">AVERAGE(D2:D8)</f>
        <v>3.11428571428571</v>
      </c>
    </row>
    <row r="6" customFormat="false" ht="15" hidden="false" customHeight="false" outlineLevel="0" collapsed="false">
      <c r="A6" s="4" t="n">
        <v>5</v>
      </c>
      <c r="B6" s="5" t="n">
        <v>20.1</v>
      </c>
      <c r="C6" s="5" t="n">
        <v>55</v>
      </c>
      <c r="D6" s="5" t="n">
        <v>6.5</v>
      </c>
      <c r="E6" s="5" t="n">
        <v>320</v>
      </c>
      <c r="F6" s="5" t="n">
        <f aca="false">2*B6</f>
        <v>40.2</v>
      </c>
      <c r="G6" s="5" t="n">
        <f aca="false">PI()*POWER(B6,2)*C6</f>
        <v>69807.9166387247</v>
      </c>
      <c r="H6" s="5" t="n">
        <f aca="false">SQRT(G6)</f>
        <v>264.211878307401</v>
      </c>
      <c r="I6" s="5" t="n">
        <f aca="false">ABS(D6-$K$1)</f>
        <v>3.5</v>
      </c>
      <c r="T6" s="0" t="n">
        <f aca="false">72/(T2*100)</f>
        <v>6</v>
      </c>
      <c r="X6" s="5" t="n">
        <f aca="false">PI()*B6*$Y$1/180</f>
        <v>21.0486707790516</v>
      </c>
      <c r="Z6" s="5" t="n">
        <f aca="false">B6*RADIANS($Y$1)</f>
        <v>21.0486707790516</v>
      </c>
      <c r="AA6" s="3" t="n">
        <f aca="false">MAX(D2:D8)</f>
        <v>6.5</v>
      </c>
    </row>
    <row r="7" customFormat="false" ht="15" hidden="false" customHeight="false" outlineLevel="0" collapsed="false">
      <c r="A7" s="4" t="n">
        <v>6</v>
      </c>
      <c r="B7" s="5" t="n">
        <v>10.4</v>
      </c>
      <c r="C7" s="5" t="n">
        <v>28</v>
      </c>
      <c r="D7" s="5" t="n">
        <v>1.9</v>
      </c>
      <c r="E7" s="5" t="n">
        <v>130</v>
      </c>
      <c r="F7" s="5" t="n">
        <f aca="false">2*B7</f>
        <v>20.8</v>
      </c>
      <c r="G7" s="5" t="n">
        <f aca="false">PI()*POWER(B7,2)*C7</f>
        <v>9514.25051954362</v>
      </c>
      <c r="H7" s="5" t="n">
        <f aca="false">SQRT(G7)</f>
        <v>97.5410196765628</v>
      </c>
      <c r="I7" s="5" t="n">
        <f aca="false">ABS(D7-$K$1)</f>
        <v>1.1</v>
      </c>
      <c r="T7" s="8" t="n">
        <f aca="false">LN(2)/LN(1+T2)</f>
        <v>6.1162553741997</v>
      </c>
      <c r="X7" s="5" t="n">
        <f aca="false">PI()*B7*$Y$1/180</f>
        <v>10.8908545324446</v>
      </c>
      <c r="Z7" s="5" t="n">
        <f aca="false">B7*RADIANS($Y$1)</f>
        <v>10.8908545324446</v>
      </c>
      <c r="AA7" s="3" t="n">
        <f aca="false">MIN(D2:D8)</f>
        <v>0.7</v>
      </c>
    </row>
    <row r="8" customFormat="false" ht="15" hidden="false" customHeight="false" outlineLevel="0" collapsed="false">
      <c r="A8" s="4" t="n">
        <v>7</v>
      </c>
      <c r="B8" s="5" t="n">
        <v>18.9</v>
      </c>
      <c r="C8" s="5" t="n">
        <v>48</v>
      </c>
      <c r="D8" s="5" t="n">
        <v>5.2</v>
      </c>
      <c r="E8" s="5" t="n">
        <v>275</v>
      </c>
      <c r="F8" s="5" t="n">
        <f aca="false">2*B8</f>
        <v>37.8</v>
      </c>
      <c r="G8" s="5" t="n">
        <f aca="false">PI()*POWER(B8,2)*C8</f>
        <v>53865.9989658629</v>
      </c>
      <c r="H8" s="5" t="n">
        <f aca="false">SQRT(G8)</f>
        <v>232.090497362264</v>
      </c>
      <c r="I8" s="5" t="n">
        <f aca="false">ABS(D8-$K$1)</f>
        <v>2.2</v>
      </c>
      <c r="X8" s="5" t="n">
        <f aca="false">PI()*B8*$Y$1/180</f>
        <v>19.7920337176157</v>
      </c>
      <c r="Z8" s="5" t="n">
        <f aca="false">B8*RADIANS($Y$1)</f>
        <v>19.7920337176157</v>
      </c>
    </row>
    <row r="10" customFormat="false" ht="15" hidden="false" customHeight="false" outlineLevel="0" collapsed="false">
      <c r="Z10" s="9" t="n">
        <f aca="false">DEGREES(PI()/3)</f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</cols>
  <sheetData>
    <row r="1" customFormat="false" ht="15" hidden="false" customHeight="false" outlineLevel="0" collapsed="false">
      <c r="A1" s="10" t="n">
        <v>500000</v>
      </c>
      <c r="B1" s="0" t="s">
        <v>11</v>
      </c>
    </row>
    <row r="2" customFormat="false" ht="15" hidden="false" customHeight="false" outlineLevel="0" collapsed="false">
      <c r="A2" s="6" t="n">
        <v>0.18</v>
      </c>
      <c r="B2" s="0" t="s">
        <v>12</v>
      </c>
    </row>
    <row r="3" customFormat="false" ht="15" hidden="false" customHeight="false" outlineLevel="0" collapsed="false">
      <c r="A3" s="0" t="n">
        <v>3</v>
      </c>
      <c r="B3" s="0" t="s">
        <v>13</v>
      </c>
    </row>
    <row r="4" customFormat="false" ht="15" hidden="false" customHeight="false" outlineLevel="0" collapsed="false">
      <c r="A4" s="10" t="n">
        <f aca="false">-PMT(A2/12,A3*12,A1)</f>
        <v>18076.1977679584</v>
      </c>
      <c r="B4" s="0" t="s">
        <v>14</v>
      </c>
    </row>
    <row r="5" customFormat="false" ht="15" hidden="false" customHeight="false" outlineLevel="0" collapsed="false">
      <c r="A5" s="10" t="n">
        <f aca="false">A4*A3*12</f>
        <v>650743.119646503</v>
      </c>
      <c r="B5" s="0" t="s">
        <v>15</v>
      </c>
    </row>
    <row r="6" customFormat="false" ht="15" hidden="false" customHeight="false" outlineLevel="0" collapsed="false">
      <c r="A6" s="10" t="n">
        <f aca="false">A5-A1</f>
        <v>150743.119646503</v>
      </c>
      <c r="B6" s="0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2026-10-27T21:30:06Z</dcterms:created>
  <dc:creator>openpyxl</dc:creator>
  <dc:description/>
  <dc:language>ru-RU</dc:language>
  <cp:lastModifiedBy/>
  <dcterms:modified xsi:type="dcterms:W3CDTF">2026-10-27T21:30:06Z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